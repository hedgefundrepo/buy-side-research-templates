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ipeline" sheetId="2" state="visible" r:id="rId2"/>
    <sheet xmlns:r="http://schemas.openxmlformats.org/officeDocument/2006/relationships" name="Summary" sheetId="3" state="visible" r:id="rId3"/>
    <sheet xmlns:r="http://schemas.openxmlformats.org/officeDocument/2006/relationships" name="Sources"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0.0%"/>
  </numFmts>
  <fonts count="6">
    <font>
      <name val="Calibri"/>
      <family val="2"/>
      <color theme="1"/>
      <sz val="11"/>
      <scheme val="minor"/>
    </font>
    <font>
      <b val="1"/>
      <color rgb="000F1B2D"/>
      <sz val="14"/>
    </font>
    <font>
      <i val="1"/>
      <color rgb="006B7280"/>
      <sz val="9"/>
    </font>
    <font>
      <b val="1"/>
      <color rgb="00FFFFFF"/>
    </font>
    <font>
      <color rgb="000000FF"/>
    </font>
    <font>
      <b val="1"/>
    </font>
  </fonts>
  <fills count="3">
    <fill>
      <patternFill/>
    </fill>
    <fill>
      <patternFill patternType="gray125"/>
    </fill>
    <fill>
      <patternFill patternType="solid">
        <fgColor rgb="0014365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0" fontId="4" fillId="0" borderId="0" pivotButton="0" quotePrefix="0" xfId="0"/>
    <xf numFmtId="164" fontId="4" fillId="0" borderId="0" pivotButton="0" quotePrefix="0" xfId="0"/>
    <xf numFmtId="165" fontId="0" fillId="0" borderId="0" pivotButton="0" quotePrefix="0" xfId="0"/>
    <xf numFmtId="0" fontId="5"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 t="inlineStr">
        <is>
          <t>Idea pipeline with written stage gates</t>
        </is>
      </c>
    </row>
    <row r="2">
      <c r="A2" s="2" t="inlineStr">
        <is>
          <t>Educational only. Not investment advice. Independent; not affiliated with any fund or firm.</t>
        </is>
      </c>
    </row>
    <row r="4">
      <c r="A4" t="inlineStr">
        <is>
          <t>One row per idea (Playbook, Play 1). Stages: 0 Inbox, 1 Triage, 2 First read, 3 Deep work, 4 Decision.</t>
        </is>
      </c>
    </row>
    <row r="5">
      <c r="A5" t="inlineStr">
        <is>
          <t>Score the four triage criteria 1-5; Score averages them once all four are filled.</t>
        </is>
      </c>
    </row>
    <row r="6">
      <c r="A6" t="inlineStr">
        <is>
          <t>Status: Active, Dropped (always fill the drop reason) or Decided.</t>
        </is>
      </c>
    </row>
    <row r="7">
      <c r="A7" t="inlineStr">
        <is>
          <t>Summary counts active ideas per stage and warns when more than 3 ideas sit in deep work at once.</t>
        </is>
      </c>
    </row>
    <row r="8">
      <c r="A8" t="inlineStr">
        <is>
          <t>Sources shows which idea sources actually reach deep work. Fill the source names you use.</t>
        </is>
      </c>
    </row>
    <row r="9">
      <c r="A9" t="inlineStr">
        <is>
          <t>Example rows use FICTIONAL companies.</t>
        </is>
      </c>
    </row>
    <row r="10">
      <c r="A10" t="inlineStr">
        <is>
          <t>Educational only. Not investment advice. Independent; not affiliated with any fund or firm.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cols>
    <col width="24" customWidth="1" min="1" max="1"/>
    <col width="18" customWidth="1" min="2" max="2"/>
    <col width="12" customWidth="1" min="3" max="3"/>
    <col width="10" customWidth="1" min="4" max="4"/>
    <col width="13" customWidth="1" min="5" max="5"/>
    <col width="10" customWidth="1" min="6" max="6"/>
    <col width="9" customWidth="1" min="7" max="7"/>
    <col width="10" customWidth="1" min="8" max="8"/>
    <col width="11" customWidth="1" min="9" max="9"/>
    <col width="9" customWidth="1" min="10" max="10"/>
    <col width="8" customWidth="1" min="11" max="11"/>
    <col width="44" customWidth="1" min="12" max="12"/>
    <col width="10" customWidth="1" min="13" max="13"/>
    <col width="30" customWidth="1" min="14" max="14"/>
  </cols>
  <sheetData>
    <row r="1">
      <c r="A1" s="1" t="inlineStr">
        <is>
          <t>Pipeline</t>
        </is>
      </c>
    </row>
    <row r="2">
      <c r="A2" s="2" t="inlineStr">
        <is>
          <t>Educational only. Not investment advice. Independent; not affiliated with any fund or firm.</t>
        </is>
      </c>
    </row>
    <row r="5">
      <c r="A5" s="3" t="inlineStr">
        <is>
          <t>Idea</t>
        </is>
      </c>
      <c r="B5" s="3" t="inlineStr">
        <is>
          <t>Source</t>
        </is>
      </c>
      <c r="C5" s="3" t="inlineStr">
        <is>
          <t>Date entered</t>
        </is>
      </c>
      <c r="D5" s="3" t="inlineStr">
        <is>
          <t>Stage (0-4)</t>
        </is>
      </c>
      <c r="E5" s="3" t="inlineStr">
        <is>
          <t>Entered stage on</t>
        </is>
      </c>
      <c r="F5" s="3" t="inlineStr">
        <is>
          <t>Days in stage</t>
        </is>
      </c>
      <c r="G5" s="3" t="inlineStr">
        <is>
          <t>Quality (1-5)</t>
        </is>
      </c>
      <c r="H5" s="3" t="inlineStr">
        <is>
          <t>Balance sheet (1-5)</t>
        </is>
      </c>
      <c r="I5" s="3" t="inlineStr">
        <is>
          <t>Expectations (1-5)</t>
        </is>
      </c>
      <c r="J5" s="3" t="inlineStr">
        <is>
          <t>Angle (1-5)</t>
        </is>
      </c>
      <c r="K5" s="3" t="inlineStr">
        <is>
          <t>Score</t>
        </is>
      </c>
      <c r="L5" s="3" t="inlineStr">
        <is>
          <t>Why it might be interesting</t>
        </is>
      </c>
      <c r="M5" s="3" t="inlineStr">
        <is>
          <t>Status</t>
        </is>
      </c>
      <c r="N5" s="3" t="inlineStr">
        <is>
          <t>Drop reason</t>
        </is>
      </c>
    </row>
    <row r="6">
      <c r="A6" s="4" t="inlineStr">
        <is>
          <t>ExampleCo</t>
        </is>
      </c>
      <c r="B6" s="4" t="inlineStr">
        <is>
          <t>Screen: margin change</t>
        </is>
      </c>
      <c r="C6" s="5" t="n">
        <v>46267</v>
      </c>
      <c r="D6" s="4" t="n">
        <v>3</v>
      </c>
      <c r="E6" s="5" t="n">
        <v>46296</v>
      </c>
      <c r="F6">
        <f>IF(E6="","",IF(ISNUMBER(E6),TODAY()-E6,IF(ISERROR(DATEVALUE(E6)),"",TODAY()-DATEVALUE(E6))))</f>
        <v/>
      </c>
      <c r="G6" s="4" t="n">
        <v>4</v>
      </c>
      <c r="H6" s="4" t="n">
        <v>3</v>
      </c>
      <c r="I6" s="4" t="n">
        <v>4</v>
      </c>
      <c r="J6" s="4" t="n">
        <v>4</v>
      </c>
      <c r="K6" s="6">
        <f>IF(COUNT(G6:J6)&lt;4,"",AVERAGE(G6:J6))</f>
        <v/>
      </c>
      <c r="L6" s="4" t="inlineStr">
        <is>
          <t>Margins recovering; valuation implies trough margins</t>
        </is>
      </c>
      <c r="M6" s="4" t="inlineStr">
        <is>
          <t>Active</t>
        </is>
      </c>
      <c r="N6" s="4" t="inlineStr"/>
    </row>
    <row r="7">
      <c r="A7" s="4" t="inlineStr">
        <is>
          <t>SampleCo Logistics</t>
        </is>
      </c>
      <c r="B7" s="4" t="inlineStr">
        <is>
          <t>Filing radar: 8-K</t>
        </is>
      </c>
      <c r="C7" s="5" t="n">
        <v>46280</v>
      </c>
      <c r="D7" s="4" t="n">
        <v>2</v>
      </c>
      <c r="E7" s="5" t="n">
        <v>46300</v>
      </c>
      <c r="F7">
        <f>IF(E7="","",IF(ISNUMBER(E7),TODAY()-E7,IF(ISERROR(DATEVALUE(E7)),"",TODAY()-DATEVALUE(E7))))</f>
        <v/>
      </c>
      <c r="G7" s="4" t="n">
        <v>3</v>
      </c>
      <c r="H7" s="4" t="n">
        <v>4</v>
      </c>
      <c r="I7" s="4" t="n">
        <v>3</v>
      </c>
      <c r="J7" s="4" t="n">
        <v>2</v>
      </c>
      <c r="K7" s="6">
        <f>IF(COUNT(G7:J7)&lt;4,"",AVERAGE(G7:J7))</f>
        <v/>
      </c>
      <c r="L7" s="4" t="inlineStr">
        <is>
          <t>New multi-year contract disclosed</t>
        </is>
      </c>
      <c r="M7" s="4" t="inlineStr">
        <is>
          <t>Active</t>
        </is>
      </c>
      <c r="N7" s="4" t="inlineStr"/>
    </row>
    <row r="8">
      <c r="A8" s="4" t="inlineStr">
        <is>
          <t>Demo Retail Group</t>
        </is>
      </c>
      <c r="B8" s="4" t="inlineStr">
        <is>
          <t>Reading</t>
        </is>
      </c>
      <c r="C8" s="5" t="n">
        <v>46254</v>
      </c>
      <c r="D8" s="4" t="n">
        <v>1</v>
      </c>
      <c r="E8" s="5" t="n">
        <v>46254</v>
      </c>
      <c r="F8">
        <f>IF(E8="","",IF(ISNUMBER(E8),TODAY()-E8,IF(ISERROR(DATEVALUE(E8)),"",TODAY()-DATEVALUE(E8))))</f>
        <v/>
      </c>
      <c r="G8" s="4" t="n">
        <v>2</v>
      </c>
      <c r="H8" s="4" t="n">
        <v>2</v>
      </c>
      <c r="I8" s="4" t="n">
        <v>3</v>
      </c>
      <c r="J8" s="4" t="n">
        <v>2</v>
      </c>
      <c r="K8" s="6">
        <f>IF(COUNT(G8:J8)&lt;4,"",AVERAGE(G8:J8))</f>
        <v/>
      </c>
      <c r="L8" s="4" t="inlineStr">
        <is>
          <t>Store count shrinking, same-store sales unclear</t>
        </is>
      </c>
      <c r="M8" s="4" t="inlineStr">
        <is>
          <t>Dropped</t>
        </is>
      </c>
      <c r="N8" s="4" t="inlineStr">
        <is>
          <t>No angle; balance sheet weak</t>
        </is>
      </c>
    </row>
    <row r="9">
      <c r="A9" s="4" t="inlineStr">
        <is>
          <t>Illustrative Software Inc.</t>
        </is>
      </c>
      <c r="B9" s="4" t="inlineStr">
        <is>
          <t>Screen: share count down</t>
        </is>
      </c>
      <c r="C9" s="5" t="n">
        <v>46305</v>
      </c>
      <c r="D9" s="4" t="n">
        <v>0</v>
      </c>
      <c r="E9" s="5" t="n">
        <v>46305</v>
      </c>
      <c r="F9">
        <f>IF(E9="","",IF(ISNUMBER(E9),TODAY()-E9,IF(ISERROR(DATEVALUE(E9)),"",TODAY()-DATEVALUE(E9))))</f>
        <v/>
      </c>
      <c r="G9" s="4" t="n"/>
      <c r="H9" s="4" t="n"/>
      <c r="I9" s="4" t="n"/>
      <c r="J9" s="4" t="n"/>
      <c r="K9" s="6">
        <f>IF(COUNT(G9:J9)&lt;4,"",AVERAGE(G9:J9))</f>
        <v/>
      </c>
      <c r="L9" s="4" t="inlineStr">
        <is>
          <t>Diluted shares down 3 years while revenue grew</t>
        </is>
      </c>
      <c r="M9" s="4" t="inlineStr">
        <is>
          <t>Active</t>
        </is>
      </c>
      <c r="N9" s="4" t="inlineStr"/>
    </row>
    <row r="10">
      <c r="A10" s="4" t="n"/>
      <c r="B10" s="4" t="n"/>
      <c r="C10" s="4" t="n"/>
      <c r="D10" s="4" t="n"/>
      <c r="E10" s="4" t="n"/>
      <c r="F10">
        <f>IF(E10="","",IF(ISNUMBER(E10),TODAY()-E10,IF(ISERROR(DATEVALUE(E10)),"",TODAY()-DATEVALUE(E10))))</f>
        <v/>
      </c>
      <c r="G10" s="4" t="n"/>
      <c r="H10" s="4" t="n"/>
      <c r="I10" s="4" t="n"/>
      <c r="J10" s="4" t="n"/>
      <c r="K10" s="6">
        <f>IF(COUNT(G10:J10)&lt;4,"",AVERAGE(G10:J10))</f>
        <v/>
      </c>
      <c r="L10" s="4" t="n"/>
      <c r="M10" s="4" t="n"/>
      <c r="N10" s="4" t="n"/>
    </row>
    <row r="11">
      <c r="A11" s="4" t="n"/>
      <c r="B11" s="4" t="n"/>
      <c r="C11" s="4" t="n"/>
      <c r="D11" s="4" t="n"/>
      <c r="E11" s="4" t="n"/>
      <c r="F11">
        <f>IF(E11="","",IF(ISNUMBER(E11),TODAY()-E11,IF(ISERROR(DATEVALUE(E11)),"",TODAY()-DATEVALUE(E11))))</f>
        <v/>
      </c>
      <c r="G11" s="4" t="n"/>
      <c r="H11" s="4" t="n"/>
      <c r="I11" s="4" t="n"/>
      <c r="J11" s="4" t="n"/>
      <c r="K11" s="6">
        <f>IF(COUNT(G11:J11)&lt;4,"",AVERAGE(G11:J11))</f>
        <v/>
      </c>
      <c r="L11" s="4" t="n"/>
      <c r="M11" s="4" t="n"/>
      <c r="N11" s="4" t="n"/>
    </row>
    <row r="12">
      <c r="A12" s="4" t="n"/>
      <c r="B12" s="4" t="n"/>
      <c r="C12" s="4" t="n"/>
      <c r="D12" s="4" t="n"/>
      <c r="E12" s="4" t="n"/>
      <c r="F12">
        <f>IF(E12="","",IF(ISNUMBER(E12),TODAY()-E12,IF(ISERROR(DATEVALUE(E12)),"",TODAY()-DATEVALUE(E12))))</f>
        <v/>
      </c>
      <c r="G12" s="4" t="n"/>
      <c r="H12" s="4" t="n"/>
      <c r="I12" s="4" t="n"/>
      <c r="J12" s="4" t="n"/>
      <c r="K12" s="6">
        <f>IF(COUNT(G12:J12)&lt;4,"",AVERAGE(G12:J12))</f>
        <v/>
      </c>
      <c r="L12" s="4" t="n"/>
      <c r="M12" s="4" t="n"/>
      <c r="N12" s="4" t="n"/>
    </row>
    <row r="13">
      <c r="A13" s="4" t="n"/>
      <c r="B13" s="4" t="n"/>
      <c r="C13" s="4" t="n"/>
      <c r="D13" s="4" t="n"/>
      <c r="E13" s="4" t="n"/>
      <c r="F13">
        <f>IF(E13="","",IF(ISNUMBER(E13),TODAY()-E13,IF(ISERROR(DATEVALUE(E13)),"",TODAY()-DATEVALUE(E13))))</f>
        <v/>
      </c>
      <c r="G13" s="4" t="n"/>
      <c r="H13" s="4" t="n"/>
      <c r="I13" s="4" t="n"/>
      <c r="J13" s="4" t="n"/>
      <c r="K13" s="6">
        <f>IF(COUNT(G13:J13)&lt;4,"",AVERAGE(G13:J13))</f>
        <v/>
      </c>
      <c r="L13" s="4" t="n"/>
      <c r="M13" s="4" t="n"/>
      <c r="N13" s="4" t="n"/>
    </row>
    <row r="14">
      <c r="A14" s="4" t="n"/>
      <c r="B14" s="4" t="n"/>
      <c r="C14" s="4" t="n"/>
      <c r="D14" s="4" t="n"/>
      <c r="E14" s="4" t="n"/>
      <c r="F14">
        <f>IF(E14="","",IF(ISNUMBER(E14),TODAY()-E14,IF(ISERROR(DATEVALUE(E14)),"",TODAY()-DATEVALUE(E14))))</f>
        <v/>
      </c>
      <c r="G14" s="4" t="n"/>
      <c r="H14" s="4" t="n"/>
      <c r="I14" s="4" t="n"/>
      <c r="J14" s="4" t="n"/>
      <c r="K14" s="6">
        <f>IF(COUNT(G14:J14)&lt;4,"",AVERAGE(G14:J14))</f>
        <v/>
      </c>
      <c r="L14" s="4" t="n"/>
      <c r="M14" s="4" t="n"/>
      <c r="N14" s="4" t="n"/>
    </row>
    <row r="15">
      <c r="A15" s="4" t="n"/>
      <c r="B15" s="4" t="n"/>
      <c r="C15" s="4" t="n"/>
      <c r="D15" s="4" t="n"/>
      <c r="E15" s="4" t="n"/>
      <c r="F15">
        <f>IF(E15="","",IF(ISNUMBER(E15),TODAY()-E15,IF(ISERROR(DATEVALUE(E15)),"",TODAY()-DATEVALUE(E15))))</f>
        <v/>
      </c>
      <c r="G15" s="4" t="n"/>
      <c r="H15" s="4" t="n"/>
      <c r="I15" s="4" t="n"/>
      <c r="J15" s="4" t="n"/>
      <c r="K15" s="6">
        <f>IF(COUNT(G15:J15)&lt;4,"",AVERAGE(G15:J15))</f>
        <v/>
      </c>
      <c r="L15" s="4" t="n"/>
      <c r="M15" s="4" t="n"/>
      <c r="N15" s="4" t="n"/>
    </row>
    <row r="16">
      <c r="A16" s="4" t="n"/>
      <c r="B16" s="4" t="n"/>
      <c r="C16" s="4" t="n"/>
      <c r="D16" s="4" t="n"/>
      <c r="E16" s="4" t="n"/>
      <c r="F16">
        <f>IF(E16="","",IF(ISNUMBER(E16),TODAY()-E16,IF(ISERROR(DATEVALUE(E16)),"",TODAY()-DATEVALUE(E16))))</f>
        <v/>
      </c>
      <c r="G16" s="4" t="n"/>
      <c r="H16" s="4" t="n"/>
      <c r="I16" s="4" t="n"/>
      <c r="J16" s="4" t="n"/>
      <c r="K16" s="6">
        <f>IF(COUNT(G16:J16)&lt;4,"",AVERAGE(G16:J16))</f>
        <v/>
      </c>
      <c r="L16" s="4" t="n"/>
      <c r="M16" s="4" t="n"/>
      <c r="N16" s="4" t="n"/>
    </row>
    <row r="17">
      <c r="A17" s="4" t="n"/>
      <c r="B17" s="4" t="n"/>
      <c r="C17" s="4" t="n"/>
      <c r="D17" s="4" t="n"/>
      <c r="E17" s="4" t="n"/>
      <c r="F17">
        <f>IF(E17="","",IF(ISNUMBER(E17),TODAY()-E17,IF(ISERROR(DATEVALUE(E17)),"",TODAY()-DATEVALUE(E17))))</f>
        <v/>
      </c>
      <c r="G17" s="4" t="n"/>
      <c r="H17" s="4" t="n"/>
      <c r="I17" s="4" t="n"/>
      <c r="J17" s="4" t="n"/>
      <c r="K17" s="6">
        <f>IF(COUNT(G17:J17)&lt;4,"",AVERAGE(G17:J17))</f>
        <v/>
      </c>
      <c r="L17" s="4" t="n"/>
      <c r="M17" s="4" t="n"/>
      <c r="N17" s="4" t="n"/>
    </row>
    <row r="18">
      <c r="A18" s="4" t="n"/>
      <c r="B18" s="4" t="n"/>
      <c r="C18" s="4" t="n"/>
      <c r="D18" s="4" t="n"/>
      <c r="E18" s="4" t="n"/>
      <c r="F18">
        <f>IF(E18="","",IF(ISNUMBER(E18),TODAY()-E18,IF(ISERROR(DATEVALUE(E18)),"",TODAY()-DATEVALUE(E18))))</f>
        <v/>
      </c>
      <c r="G18" s="4" t="n"/>
      <c r="H18" s="4" t="n"/>
      <c r="I18" s="4" t="n"/>
      <c r="J18" s="4" t="n"/>
      <c r="K18" s="6">
        <f>IF(COUNT(G18:J18)&lt;4,"",AVERAGE(G18:J18))</f>
        <v/>
      </c>
      <c r="L18" s="4" t="n"/>
      <c r="M18" s="4" t="n"/>
      <c r="N18" s="4" t="n"/>
    </row>
    <row r="19">
      <c r="A19" s="4" t="n"/>
      <c r="B19" s="4" t="n"/>
      <c r="C19" s="4" t="n"/>
      <c r="D19" s="4" t="n"/>
      <c r="E19" s="4" t="n"/>
      <c r="F19">
        <f>IF(E19="","",IF(ISNUMBER(E19),TODAY()-E19,IF(ISERROR(DATEVALUE(E19)),"",TODAY()-DATEVALUE(E19))))</f>
        <v/>
      </c>
      <c r="G19" s="4" t="n"/>
      <c r="H19" s="4" t="n"/>
      <c r="I19" s="4" t="n"/>
      <c r="J19" s="4" t="n"/>
      <c r="K19" s="6">
        <f>IF(COUNT(G19:J19)&lt;4,"",AVERAGE(G19:J19))</f>
        <v/>
      </c>
      <c r="L19" s="4" t="n"/>
      <c r="M19" s="4" t="n"/>
      <c r="N19" s="4" t="n"/>
    </row>
    <row r="20">
      <c r="A20" s="4" t="n"/>
      <c r="B20" s="4" t="n"/>
      <c r="C20" s="4" t="n"/>
      <c r="D20" s="4" t="n"/>
      <c r="E20" s="4" t="n"/>
      <c r="F20">
        <f>IF(E20="","",IF(ISNUMBER(E20),TODAY()-E20,IF(ISERROR(DATEVALUE(E20)),"",TODAY()-DATEVALUE(E20))))</f>
        <v/>
      </c>
      <c r="G20" s="4" t="n"/>
      <c r="H20" s="4" t="n"/>
      <c r="I20" s="4" t="n"/>
      <c r="J20" s="4" t="n"/>
      <c r="K20" s="6">
        <f>IF(COUNT(G20:J20)&lt;4,"",AVERAGE(G20:J20))</f>
        <v/>
      </c>
      <c r="L20" s="4" t="n"/>
      <c r="M20" s="4" t="n"/>
      <c r="N20" s="4" t="n"/>
    </row>
    <row r="21">
      <c r="A21" s="4" t="n"/>
      <c r="B21" s="4" t="n"/>
      <c r="C21" s="4" t="n"/>
      <c r="D21" s="4" t="n"/>
      <c r="E21" s="4" t="n"/>
      <c r="F21">
        <f>IF(E21="","",IF(ISNUMBER(E21),TODAY()-E21,IF(ISERROR(DATEVALUE(E21)),"",TODAY()-DATEVALUE(E21))))</f>
        <v/>
      </c>
      <c r="G21" s="4" t="n"/>
      <c r="H21" s="4" t="n"/>
      <c r="I21" s="4" t="n"/>
      <c r="J21" s="4" t="n"/>
      <c r="K21" s="6">
        <f>IF(COUNT(G21:J21)&lt;4,"",AVERAGE(G21:J21))</f>
        <v/>
      </c>
      <c r="L21" s="4" t="n"/>
      <c r="M21" s="4" t="n"/>
      <c r="N21" s="4" t="n"/>
    </row>
    <row r="22">
      <c r="A22" s="4" t="n"/>
      <c r="B22" s="4" t="n"/>
      <c r="C22" s="4" t="n"/>
      <c r="D22" s="4" t="n"/>
      <c r="E22" s="4" t="n"/>
      <c r="F22">
        <f>IF(E22="","",IF(ISNUMBER(E22),TODAY()-E22,IF(ISERROR(DATEVALUE(E22)),"",TODAY()-DATEVALUE(E22))))</f>
        <v/>
      </c>
      <c r="G22" s="4" t="n"/>
      <c r="H22" s="4" t="n"/>
      <c r="I22" s="4" t="n"/>
      <c r="J22" s="4" t="n"/>
      <c r="K22" s="6">
        <f>IF(COUNT(G22:J22)&lt;4,"",AVERAGE(G22:J22))</f>
        <v/>
      </c>
      <c r="L22" s="4" t="n"/>
      <c r="M22" s="4" t="n"/>
      <c r="N22" s="4" t="n"/>
    </row>
    <row r="23">
      <c r="A23" s="4" t="n"/>
      <c r="B23" s="4" t="n"/>
      <c r="C23" s="4" t="n"/>
      <c r="D23" s="4" t="n"/>
      <c r="E23" s="4" t="n"/>
      <c r="F23">
        <f>IF(E23="","",IF(ISNUMBER(E23),TODAY()-E23,IF(ISERROR(DATEVALUE(E23)),"",TODAY()-DATEVALUE(E23))))</f>
        <v/>
      </c>
      <c r="G23" s="4" t="n"/>
      <c r="H23" s="4" t="n"/>
      <c r="I23" s="4" t="n"/>
      <c r="J23" s="4" t="n"/>
      <c r="K23" s="6">
        <f>IF(COUNT(G23:J23)&lt;4,"",AVERAGE(G23:J23))</f>
        <v/>
      </c>
      <c r="L23" s="4" t="n"/>
      <c r="M23" s="4" t="n"/>
      <c r="N23" s="4" t="n"/>
    </row>
    <row r="24">
      <c r="A24" s="4" t="n"/>
      <c r="B24" s="4" t="n"/>
      <c r="C24" s="4" t="n"/>
      <c r="D24" s="4" t="n"/>
      <c r="E24" s="4" t="n"/>
      <c r="F24">
        <f>IF(E24="","",IF(ISNUMBER(E24),TODAY()-E24,IF(ISERROR(DATEVALUE(E24)),"",TODAY()-DATEVALUE(E24))))</f>
        <v/>
      </c>
      <c r="G24" s="4" t="n"/>
      <c r="H24" s="4" t="n"/>
      <c r="I24" s="4" t="n"/>
      <c r="J24" s="4" t="n"/>
      <c r="K24" s="6">
        <f>IF(COUNT(G24:J24)&lt;4,"",AVERAGE(G24:J24))</f>
        <v/>
      </c>
      <c r="L24" s="4" t="n"/>
      <c r="M24" s="4" t="n"/>
      <c r="N24" s="4" t="n"/>
    </row>
    <row r="25">
      <c r="A25" s="4" t="n"/>
      <c r="B25" s="4" t="n"/>
      <c r="C25" s="4" t="n"/>
      <c r="D25" s="4" t="n"/>
      <c r="E25" s="4" t="n"/>
      <c r="F25">
        <f>IF(E25="","",IF(ISNUMBER(E25),TODAY()-E25,IF(ISERROR(DATEVALUE(E25)),"",TODAY()-DATEVALUE(E25))))</f>
        <v/>
      </c>
      <c r="G25" s="4" t="n"/>
      <c r="H25" s="4" t="n"/>
      <c r="I25" s="4" t="n"/>
      <c r="J25" s="4" t="n"/>
      <c r="K25" s="6">
        <f>IF(COUNT(G25:J25)&lt;4,"",AVERAGE(G25:J25))</f>
        <v/>
      </c>
      <c r="L25" s="4" t="n"/>
      <c r="M25" s="4" t="n"/>
      <c r="N25" s="4" t="n"/>
    </row>
    <row r="26">
      <c r="A26" s="4" t="n"/>
      <c r="B26" s="4" t="n"/>
      <c r="C26" s="4" t="n"/>
      <c r="D26" s="4" t="n"/>
      <c r="E26" s="4" t="n"/>
      <c r="F26">
        <f>IF(E26="","",IF(ISNUMBER(E26),TODAY()-E26,IF(ISERROR(DATEVALUE(E26)),"",TODAY()-DATEVALUE(E26))))</f>
        <v/>
      </c>
      <c r="G26" s="4" t="n"/>
      <c r="H26" s="4" t="n"/>
      <c r="I26" s="4" t="n"/>
      <c r="J26" s="4" t="n"/>
      <c r="K26" s="6">
        <f>IF(COUNT(G26:J26)&lt;4,"",AVERAGE(G26:J26))</f>
        <v/>
      </c>
      <c r="L26" s="4" t="n"/>
      <c r="M26" s="4" t="n"/>
      <c r="N26" s="4" t="n"/>
    </row>
    <row r="27">
      <c r="A27" s="4" t="n"/>
      <c r="B27" s="4" t="n"/>
      <c r="C27" s="4" t="n"/>
      <c r="D27" s="4" t="n"/>
      <c r="E27" s="4" t="n"/>
      <c r="F27">
        <f>IF(E27="","",IF(ISNUMBER(E27),TODAY()-E27,IF(ISERROR(DATEVALUE(E27)),"",TODAY()-DATEVALUE(E27))))</f>
        <v/>
      </c>
      <c r="G27" s="4" t="n"/>
      <c r="H27" s="4" t="n"/>
      <c r="I27" s="4" t="n"/>
      <c r="J27" s="4" t="n"/>
      <c r="K27" s="6">
        <f>IF(COUNT(G27:J27)&lt;4,"",AVERAGE(G27:J27))</f>
        <v/>
      </c>
      <c r="L27" s="4" t="n"/>
      <c r="M27" s="4" t="n"/>
      <c r="N27" s="4" t="n"/>
    </row>
    <row r="28">
      <c r="A28" s="4" t="n"/>
      <c r="B28" s="4" t="n"/>
      <c r="C28" s="4" t="n"/>
      <c r="D28" s="4" t="n"/>
      <c r="E28" s="4" t="n"/>
      <c r="F28">
        <f>IF(E28="","",IF(ISNUMBER(E28),TODAY()-E28,IF(ISERROR(DATEVALUE(E28)),"",TODAY()-DATEVALUE(E28))))</f>
        <v/>
      </c>
      <c r="G28" s="4" t="n"/>
      <c r="H28" s="4" t="n"/>
      <c r="I28" s="4" t="n"/>
      <c r="J28" s="4" t="n"/>
      <c r="K28" s="6">
        <f>IF(COUNT(G28:J28)&lt;4,"",AVERAGE(G28:J28))</f>
        <v/>
      </c>
      <c r="L28" s="4" t="n"/>
      <c r="M28" s="4" t="n"/>
      <c r="N28" s="4" t="n"/>
    </row>
    <row r="29">
      <c r="A29" s="4" t="n"/>
      <c r="B29" s="4" t="n"/>
      <c r="C29" s="4" t="n"/>
      <c r="D29" s="4" t="n"/>
      <c r="E29" s="4" t="n"/>
      <c r="F29">
        <f>IF(E29="","",IF(ISNUMBER(E29),TODAY()-E29,IF(ISERROR(DATEVALUE(E29)),"",TODAY()-DATEVALUE(E29))))</f>
        <v/>
      </c>
      <c r="G29" s="4" t="n"/>
      <c r="H29" s="4" t="n"/>
      <c r="I29" s="4" t="n"/>
      <c r="J29" s="4" t="n"/>
      <c r="K29" s="6">
        <f>IF(COUNT(G29:J29)&lt;4,"",AVERAGE(G29:J29))</f>
        <v/>
      </c>
      <c r="L29" s="4" t="n"/>
      <c r="M29" s="4" t="n"/>
      <c r="N29" s="4" t="n"/>
    </row>
    <row r="30">
      <c r="A30" s="4" t="n"/>
      <c r="B30" s="4" t="n"/>
      <c r="C30" s="4" t="n"/>
      <c r="D30" s="4" t="n"/>
      <c r="E30" s="4" t="n"/>
      <c r="F30">
        <f>IF(E30="","",IF(ISNUMBER(E30),TODAY()-E30,IF(ISERROR(DATEVALUE(E30)),"",TODAY()-DATEVALUE(E30))))</f>
        <v/>
      </c>
      <c r="G30" s="4" t="n"/>
      <c r="H30" s="4" t="n"/>
      <c r="I30" s="4" t="n"/>
      <c r="J30" s="4" t="n"/>
      <c r="K30" s="6">
        <f>IF(COUNT(G30:J30)&lt;4,"",AVERAGE(G30:J30))</f>
        <v/>
      </c>
      <c r="L30" s="4" t="n"/>
      <c r="M30" s="4" t="n"/>
      <c r="N30" s="4" t="n"/>
    </row>
    <row r="31">
      <c r="A31" s="4" t="n"/>
      <c r="B31" s="4" t="n"/>
      <c r="C31" s="4" t="n"/>
      <c r="D31" s="4" t="n"/>
      <c r="E31" s="4" t="n"/>
      <c r="F31">
        <f>IF(E31="","",IF(ISNUMBER(E31),TODAY()-E31,IF(ISERROR(DATEVALUE(E31)),"",TODAY()-DATEVALUE(E31))))</f>
        <v/>
      </c>
      <c r="G31" s="4" t="n"/>
      <c r="H31" s="4" t="n"/>
      <c r="I31" s="4" t="n"/>
      <c r="J31" s="4" t="n"/>
      <c r="K31" s="6">
        <f>IF(COUNT(G31:J31)&lt;4,"",AVERAGE(G31:J31))</f>
        <v/>
      </c>
      <c r="L31" s="4" t="n"/>
      <c r="M31" s="4" t="n"/>
      <c r="N31" s="4" t="n"/>
    </row>
    <row r="32">
      <c r="A32" s="4" t="n"/>
      <c r="B32" s="4" t="n"/>
      <c r="C32" s="4" t="n"/>
      <c r="D32" s="4" t="n"/>
      <c r="E32" s="4" t="n"/>
      <c r="F32">
        <f>IF(E32="","",IF(ISNUMBER(E32),TODAY()-E32,IF(ISERROR(DATEVALUE(E32)),"",TODAY()-DATEVALUE(E32))))</f>
        <v/>
      </c>
      <c r="G32" s="4" t="n"/>
      <c r="H32" s="4" t="n"/>
      <c r="I32" s="4" t="n"/>
      <c r="J32" s="4" t="n"/>
      <c r="K32" s="6">
        <f>IF(COUNT(G32:J32)&lt;4,"",AVERAGE(G32:J32))</f>
        <v/>
      </c>
      <c r="L32" s="4" t="n"/>
      <c r="M32" s="4" t="n"/>
      <c r="N32" s="4" t="n"/>
    </row>
    <row r="33">
      <c r="A33" s="4" t="n"/>
      <c r="B33" s="4" t="n"/>
      <c r="C33" s="4" t="n"/>
      <c r="D33" s="4" t="n"/>
      <c r="E33" s="4" t="n"/>
      <c r="F33">
        <f>IF(E33="","",IF(ISNUMBER(E33),TODAY()-E33,IF(ISERROR(DATEVALUE(E33)),"",TODAY()-DATEVALUE(E33))))</f>
        <v/>
      </c>
      <c r="G33" s="4" t="n"/>
      <c r="H33" s="4" t="n"/>
      <c r="I33" s="4" t="n"/>
      <c r="J33" s="4" t="n"/>
      <c r="K33" s="6">
        <f>IF(COUNT(G33:J33)&lt;4,"",AVERAGE(G33:J33))</f>
        <v/>
      </c>
      <c r="L33" s="4" t="n"/>
      <c r="M33" s="4" t="n"/>
      <c r="N33" s="4" t="n"/>
    </row>
    <row r="34">
      <c r="A34" s="4" t="n"/>
      <c r="B34" s="4" t="n"/>
      <c r="C34" s="4" t="n"/>
      <c r="D34" s="4" t="n"/>
      <c r="E34" s="4" t="n"/>
      <c r="F34">
        <f>IF(E34="","",IF(ISNUMBER(E34),TODAY()-E34,IF(ISERROR(DATEVALUE(E34)),"",TODAY()-DATEVALUE(E34))))</f>
        <v/>
      </c>
      <c r="G34" s="4" t="n"/>
      <c r="H34" s="4" t="n"/>
      <c r="I34" s="4" t="n"/>
      <c r="J34" s="4" t="n"/>
      <c r="K34" s="6">
        <f>IF(COUNT(G34:J34)&lt;4,"",AVERAGE(G34:J34))</f>
        <v/>
      </c>
      <c r="L34" s="4" t="n"/>
      <c r="M34" s="4" t="n"/>
      <c r="N34" s="4" t="n"/>
    </row>
    <row r="35">
      <c r="A35" s="4" t="n"/>
      <c r="B35" s="4" t="n"/>
      <c r="C35" s="4" t="n"/>
      <c r="D35" s="4" t="n"/>
      <c r="E35" s="4" t="n"/>
      <c r="F35">
        <f>IF(E35="","",IF(ISNUMBER(E35),TODAY()-E35,IF(ISERROR(DATEVALUE(E35)),"",TODAY()-DATEVALUE(E35))))</f>
        <v/>
      </c>
      <c r="G35" s="4" t="n"/>
      <c r="H35" s="4" t="n"/>
      <c r="I35" s="4" t="n"/>
      <c r="J35" s="4" t="n"/>
      <c r="K35" s="6">
        <f>IF(COUNT(G35:J35)&lt;4,"",AVERAGE(G35:J35))</f>
        <v/>
      </c>
      <c r="L35" s="4" t="n"/>
      <c r="M35" s="4" t="n"/>
      <c r="N35" s="4" t="n"/>
    </row>
    <row r="36">
      <c r="A36" s="4" t="n"/>
      <c r="B36" s="4" t="n"/>
      <c r="C36" s="4" t="n"/>
      <c r="D36" s="4" t="n"/>
      <c r="E36" s="4" t="n"/>
      <c r="F36">
        <f>IF(E36="","",IF(ISNUMBER(E36),TODAY()-E36,IF(ISERROR(DATEVALUE(E36)),"",TODAY()-DATEVALUE(E36))))</f>
        <v/>
      </c>
      <c r="G36" s="4" t="n"/>
      <c r="H36" s="4" t="n"/>
      <c r="I36" s="4" t="n"/>
      <c r="J36" s="4" t="n"/>
      <c r="K36" s="6">
        <f>IF(COUNT(G36:J36)&lt;4,"",AVERAGE(G36:J36))</f>
        <v/>
      </c>
      <c r="L36" s="4" t="n"/>
      <c r="M36" s="4" t="n"/>
      <c r="N36" s="4" t="n"/>
    </row>
    <row r="37">
      <c r="A37" s="4" t="n"/>
      <c r="B37" s="4" t="n"/>
      <c r="C37" s="4" t="n"/>
      <c r="D37" s="4" t="n"/>
      <c r="E37" s="4" t="n"/>
      <c r="F37">
        <f>IF(E37="","",IF(ISNUMBER(E37),TODAY()-E37,IF(ISERROR(DATEVALUE(E37)),"",TODAY()-DATEVALUE(E37))))</f>
        <v/>
      </c>
      <c r="G37" s="4" t="n"/>
      <c r="H37" s="4" t="n"/>
      <c r="I37" s="4" t="n"/>
      <c r="J37" s="4" t="n"/>
      <c r="K37" s="6">
        <f>IF(COUNT(G37:J37)&lt;4,"",AVERAGE(G37:J37))</f>
        <v/>
      </c>
      <c r="L37" s="4" t="n"/>
      <c r="M37" s="4" t="n"/>
      <c r="N37" s="4" t="n"/>
    </row>
    <row r="38">
      <c r="A38" s="4" t="n"/>
      <c r="B38" s="4" t="n"/>
      <c r="C38" s="4" t="n"/>
      <c r="D38" s="4" t="n"/>
      <c r="E38" s="4" t="n"/>
      <c r="F38">
        <f>IF(E38="","",IF(ISNUMBER(E38),TODAY()-E38,IF(ISERROR(DATEVALUE(E38)),"",TODAY()-DATEVALUE(E38))))</f>
        <v/>
      </c>
      <c r="G38" s="4" t="n"/>
      <c r="H38" s="4" t="n"/>
      <c r="I38" s="4" t="n"/>
      <c r="J38" s="4" t="n"/>
      <c r="K38" s="6">
        <f>IF(COUNT(G38:J38)&lt;4,"",AVERAGE(G38:J38))</f>
        <v/>
      </c>
      <c r="L38" s="4" t="n"/>
      <c r="M38" s="4" t="n"/>
      <c r="N38" s="4" t="n"/>
    </row>
    <row r="39">
      <c r="A39" s="4" t="n"/>
      <c r="B39" s="4" t="n"/>
      <c r="C39" s="4" t="n"/>
      <c r="D39" s="4" t="n"/>
      <c r="E39" s="4" t="n"/>
      <c r="F39">
        <f>IF(E39="","",IF(ISNUMBER(E39),TODAY()-E39,IF(ISERROR(DATEVALUE(E39)),"",TODAY()-DATEVALUE(E39))))</f>
        <v/>
      </c>
      <c r="G39" s="4" t="n"/>
      <c r="H39" s="4" t="n"/>
      <c r="I39" s="4" t="n"/>
      <c r="J39" s="4" t="n"/>
      <c r="K39" s="6">
        <f>IF(COUNT(G39:J39)&lt;4,"",AVERAGE(G39:J39))</f>
        <v/>
      </c>
      <c r="L39" s="4" t="n"/>
      <c r="M39" s="4" t="n"/>
      <c r="N39" s="4" t="n"/>
    </row>
    <row r="40">
      <c r="A40" s="4" t="n"/>
      <c r="B40" s="4" t="n"/>
      <c r="C40" s="4" t="n"/>
      <c r="D40" s="4" t="n"/>
      <c r="E40" s="4" t="n"/>
      <c r="F40">
        <f>IF(E40="","",IF(ISNUMBER(E40),TODAY()-E40,IF(ISERROR(DATEVALUE(E40)),"",TODAY()-DATEVALUE(E40))))</f>
        <v/>
      </c>
      <c r="G40" s="4" t="n"/>
      <c r="H40" s="4" t="n"/>
      <c r="I40" s="4" t="n"/>
      <c r="J40" s="4" t="n"/>
      <c r="K40" s="6">
        <f>IF(COUNT(G40:J40)&lt;4,"",AVERAGE(G40:J40))</f>
        <v/>
      </c>
      <c r="L40" s="4" t="n"/>
      <c r="M40" s="4" t="n"/>
      <c r="N40" s="4" t="n"/>
    </row>
    <row r="41">
      <c r="A41" s="4" t="n"/>
      <c r="B41" s="4" t="n"/>
      <c r="C41" s="4" t="n"/>
      <c r="D41" s="4" t="n"/>
      <c r="E41" s="4" t="n"/>
      <c r="F41">
        <f>IF(E41="","",IF(ISNUMBER(E41),TODAY()-E41,IF(ISERROR(DATEVALUE(E41)),"",TODAY()-DATEVALUE(E41))))</f>
        <v/>
      </c>
      <c r="G41" s="4" t="n"/>
      <c r="H41" s="4" t="n"/>
      <c r="I41" s="4" t="n"/>
      <c r="J41" s="4" t="n"/>
      <c r="K41" s="6">
        <f>IF(COUNT(G41:J41)&lt;4,"",AVERAGE(G41:J41))</f>
        <v/>
      </c>
      <c r="L41" s="4" t="n"/>
      <c r="M41" s="4" t="n"/>
      <c r="N41" s="4" t="n"/>
    </row>
    <row r="42">
      <c r="A42" s="4" t="n"/>
      <c r="B42" s="4" t="n"/>
      <c r="C42" s="4" t="n"/>
      <c r="D42" s="4" t="n"/>
      <c r="E42" s="4" t="n"/>
      <c r="F42">
        <f>IF(E42="","",IF(ISNUMBER(E42),TODAY()-E42,IF(ISERROR(DATEVALUE(E42)),"",TODAY()-DATEVALUE(E42))))</f>
        <v/>
      </c>
      <c r="G42" s="4" t="n"/>
      <c r="H42" s="4" t="n"/>
      <c r="I42" s="4" t="n"/>
      <c r="J42" s="4" t="n"/>
      <c r="K42" s="6">
        <f>IF(COUNT(G42:J42)&lt;4,"",AVERAGE(G42:J42))</f>
        <v/>
      </c>
      <c r="L42" s="4" t="n"/>
      <c r="M42" s="4" t="n"/>
      <c r="N42" s="4" t="n"/>
    </row>
    <row r="43">
      <c r="A43" s="4" t="n"/>
      <c r="B43" s="4" t="n"/>
      <c r="C43" s="4" t="n"/>
      <c r="D43" s="4" t="n"/>
      <c r="E43" s="4" t="n"/>
      <c r="F43">
        <f>IF(E43="","",IF(ISNUMBER(E43),TODAY()-E43,IF(ISERROR(DATEVALUE(E43)),"",TODAY()-DATEVALUE(E43))))</f>
        <v/>
      </c>
      <c r="G43" s="4" t="n"/>
      <c r="H43" s="4" t="n"/>
      <c r="I43" s="4" t="n"/>
      <c r="J43" s="4" t="n"/>
      <c r="K43" s="6">
        <f>IF(COUNT(G43:J43)&lt;4,"",AVERAGE(G43:J43))</f>
        <v/>
      </c>
      <c r="L43" s="4" t="n"/>
      <c r="M43" s="4" t="n"/>
      <c r="N43" s="4" t="n"/>
    </row>
    <row r="44">
      <c r="A44" s="4" t="n"/>
      <c r="B44" s="4" t="n"/>
      <c r="C44" s="4" t="n"/>
      <c r="D44" s="4" t="n"/>
      <c r="E44" s="4" t="n"/>
      <c r="F44">
        <f>IF(E44="","",IF(ISNUMBER(E44),TODAY()-E44,IF(ISERROR(DATEVALUE(E44)),"",TODAY()-DATEVALUE(E44))))</f>
        <v/>
      </c>
      <c r="G44" s="4" t="n"/>
      <c r="H44" s="4" t="n"/>
      <c r="I44" s="4" t="n"/>
      <c r="J44" s="4" t="n"/>
      <c r="K44" s="6">
        <f>IF(COUNT(G44:J44)&lt;4,"",AVERAGE(G44:J44))</f>
        <v/>
      </c>
      <c r="L44" s="4" t="n"/>
      <c r="M44" s="4" t="n"/>
      <c r="N44" s="4" t="n"/>
    </row>
    <row r="45">
      <c r="A45" s="4" t="n"/>
      <c r="B45" s="4" t="n"/>
      <c r="C45" s="4" t="n"/>
      <c r="D45" s="4" t="n"/>
      <c r="E45" s="4" t="n"/>
      <c r="F45">
        <f>IF(E45="","",IF(ISNUMBER(E45),TODAY()-E45,IF(ISERROR(DATEVALUE(E45)),"",TODAY()-DATEVALUE(E45))))</f>
        <v/>
      </c>
      <c r="G45" s="4" t="n"/>
      <c r="H45" s="4" t="n"/>
      <c r="I45" s="4" t="n"/>
      <c r="J45" s="4" t="n"/>
      <c r="K45" s="6">
        <f>IF(COUNT(G45:J45)&lt;4,"",AVERAGE(G45:J45))</f>
        <v/>
      </c>
      <c r="L45" s="4" t="n"/>
      <c r="M45" s="4" t="n"/>
      <c r="N45" s="4" t="n"/>
    </row>
    <row r="46">
      <c r="A46" s="4" t="n"/>
      <c r="B46" s="4" t="n"/>
      <c r="C46" s="4" t="n"/>
      <c r="D46" s="4" t="n"/>
      <c r="E46" s="4" t="n"/>
      <c r="F46">
        <f>IF(E46="","",IF(ISNUMBER(E46),TODAY()-E46,IF(ISERROR(DATEVALUE(E46)),"",TODAY()-DATEVALUE(E46))))</f>
        <v/>
      </c>
      <c r="G46" s="4" t="n"/>
      <c r="H46" s="4" t="n"/>
      <c r="I46" s="4" t="n"/>
      <c r="J46" s="4" t="n"/>
      <c r="K46" s="6">
        <f>IF(COUNT(G46:J46)&lt;4,"",AVERAGE(G46:J46))</f>
        <v/>
      </c>
      <c r="L46" s="4" t="n"/>
      <c r="M46" s="4" t="n"/>
      <c r="N46" s="4" t="n"/>
    </row>
    <row r="47">
      <c r="A47" s="4" t="n"/>
      <c r="B47" s="4" t="n"/>
      <c r="C47" s="4" t="n"/>
      <c r="D47" s="4" t="n"/>
      <c r="E47" s="4" t="n"/>
      <c r="F47">
        <f>IF(E47="","",IF(ISNUMBER(E47),TODAY()-E47,IF(ISERROR(DATEVALUE(E47)),"",TODAY()-DATEVALUE(E47))))</f>
        <v/>
      </c>
      <c r="G47" s="4" t="n"/>
      <c r="H47" s="4" t="n"/>
      <c r="I47" s="4" t="n"/>
      <c r="J47" s="4" t="n"/>
      <c r="K47" s="6">
        <f>IF(COUNT(G47:J47)&lt;4,"",AVERAGE(G47:J47))</f>
        <v/>
      </c>
      <c r="L47" s="4" t="n"/>
      <c r="M47" s="4" t="n"/>
      <c r="N47" s="4" t="n"/>
    </row>
    <row r="48">
      <c r="A48" s="4" t="n"/>
      <c r="B48" s="4" t="n"/>
      <c r="C48" s="4" t="n"/>
      <c r="D48" s="4" t="n"/>
      <c r="E48" s="4" t="n"/>
      <c r="F48">
        <f>IF(E48="","",IF(ISNUMBER(E48),TODAY()-E48,IF(ISERROR(DATEVALUE(E48)),"",TODAY()-DATEVALUE(E48))))</f>
        <v/>
      </c>
      <c r="G48" s="4" t="n"/>
      <c r="H48" s="4" t="n"/>
      <c r="I48" s="4" t="n"/>
      <c r="J48" s="4" t="n"/>
      <c r="K48" s="6">
        <f>IF(COUNT(G48:J48)&lt;4,"",AVERAGE(G48:J48))</f>
        <v/>
      </c>
      <c r="L48" s="4" t="n"/>
      <c r="M48" s="4" t="n"/>
      <c r="N48" s="4" t="n"/>
    </row>
    <row r="49">
      <c r="A49" s="4" t="n"/>
      <c r="B49" s="4" t="n"/>
      <c r="C49" s="4" t="n"/>
      <c r="D49" s="4" t="n"/>
      <c r="E49" s="4" t="n"/>
      <c r="F49">
        <f>IF(E49="","",IF(ISNUMBER(E49),TODAY()-E49,IF(ISERROR(DATEVALUE(E49)),"",TODAY()-DATEVALUE(E49))))</f>
        <v/>
      </c>
      <c r="G49" s="4" t="n"/>
      <c r="H49" s="4" t="n"/>
      <c r="I49" s="4" t="n"/>
      <c r="J49" s="4" t="n"/>
      <c r="K49" s="6">
        <f>IF(COUNT(G49:J49)&lt;4,"",AVERAGE(G49:J49))</f>
        <v/>
      </c>
      <c r="L49" s="4" t="n"/>
      <c r="M49" s="4" t="n"/>
      <c r="N49" s="4" t="n"/>
    </row>
    <row r="50">
      <c r="A50" s="4" t="n"/>
      <c r="B50" s="4" t="n"/>
      <c r="C50" s="4" t="n"/>
      <c r="D50" s="4" t="n"/>
      <c r="E50" s="4" t="n"/>
      <c r="F50">
        <f>IF(E50="","",IF(ISNUMBER(E50),TODAY()-E50,IF(ISERROR(DATEVALUE(E50)),"",TODAY()-DATEVALUE(E50))))</f>
        <v/>
      </c>
      <c r="G50" s="4" t="n"/>
      <c r="H50" s="4" t="n"/>
      <c r="I50" s="4" t="n"/>
      <c r="J50" s="4" t="n"/>
      <c r="K50" s="6">
        <f>IF(COUNT(G50:J50)&lt;4,"",AVERAGE(G50:J50))</f>
        <v/>
      </c>
      <c r="L50" s="4" t="n"/>
      <c r="M50" s="4" t="n"/>
      <c r="N50" s="4" t="n"/>
    </row>
    <row r="51">
      <c r="A51" s="4" t="n"/>
      <c r="B51" s="4" t="n"/>
      <c r="C51" s="4" t="n"/>
      <c r="D51" s="4" t="n"/>
      <c r="E51" s="4" t="n"/>
      <c r="F51">
        <f>IF(E51="","",IF(ISNUMBER(E51),TODAY()-E51,IF(ISERROR(DATEVALUE(E51)),"",TODAY()-DATEVALUE(E51))))</f>
        <v/>
      </c>
      <c r="G51" s="4" t="n"/>
      <c r="H51" s="4" t="n"/>
      <c r="I51" s="4" t="n"/>
      <c r="J51" s="4" t="n"/>
      <c r="K51" s="6">
        <f>IF(COUNT(G51:J51)&lt;4,"",AVERAGE(G51:J51))</f>
        <v/>
      </c>
      <c r="L51" s="4" t="n"/>
      <c r="M51" s="4" t="n"/>
      <c r="N51" s="4" t="n"/>
    </row>
    <row r="52">
      <c r="A52" s="4" t="n"/>
      <c r="B52" s="4" t="n"/>
      <c r="C52" s="4" t="n"/>
      <c r="D52" s="4" t="n"/>
      <c r="E52" s="4" t="n"/>
      <c r="F52">
        <f>IF(E52="","",IF(ISNUMBER(E52),TODAY()-E52,IF(ISERROR(DATEVALUE(E52)),"",TODAY()-DATEVALUE(E52))))</f>
        <v/>
      </c>
      <c r="G52" s="4" t="n"/>
      <c r="H52" s="4" t="n"/>
      <c r="I52" s="4" t="n"/>
      <c r="J52" s="4" t="n"/>
      <c r="K52" s="6">
        <f>IF(COUNT(G52:J52)&lt;4,"",AVERAGE(G52:J52))</f>
        <v/>
      </c>
      <c r="L52" s="4" t="n"/>
      <c r="M52" s="4" t="n"/>
      <c r="N52" s="4" t="n"/>
    </row>
    <row r="53">
      <c r="A53" s="4" t="n"/>
      <c r="B53" s="4" t="n"/>
      <c r="C53" s="4" t="n"/>
      <c r="D53" s="4" t="n"/>
      <c r="E53" s="4" t="n"/>
      <c r="F53">
        <f>IF(E53="","",IF(ISNUMBER(E53),TODAY()-E53,IF(ISERROR(DATEVALUE(E53)),"",TODAY()-DATEVALUE(E53))))</f>
        <v/>
      </c>
      <c r="G53" s="4" t="n"/>
      <c r="H53" s="4" t="n"/>
      <c r="I53" s="4" t="n"/>
      <c r="J53" s="4" t="n"/>
      <c r="K53" s="6">
        <f>IF(COUNT(G53:J53)&lt;4,"",AVERAGE(G53:J53))</f>
        <v/>
      </c>
      <c r="L53" s="4" t="n"/>
      <c r="M53" s="4" t="n"/>
      <c r="N53" s="4" t="n"/>
    </row>
    <row r="54">
      <c r="A54" s="4" t="n"/>
      <c r="B54" s="4" t="n"/>
      <c r="C54" s="4" t="n"/>
      <c r="D54" s="4" t="n"/>
      <c r="E54" s="4" t="n"/>
      <c r="F54">
        <f>IF(E54="","",IF(ISNUMBER(E54),TODAY()-E54,IF(ISERROR(DATEVALUE(E54)),"",TODAY()-DATEVALUE(E54))))</f>
        <v/>
      </c>
      <c r="G54" s="4" t="n"/>
      <c r="H54" s="4" t="n"/>
      <c r="I54" s="4" t="n"/>
      <c r="J54" s="4" t="n"/>
      <c r="K54" s="6">
        <f>IF(COUNT(G54:J54)&lt;4,"",AVERAGE(G54:J54))</f>
        <v/>
      </c>
      <c r="L54" s="4" t="n"/>
      <c r="M54" s="4" t="n"/>
      <c r="N54" s="4" t="n"/>
    </row>
    <row r="55">
      <c r="A55" s="4" t="n"/>
      <c r="B55" s="4" t="n"/>
      <c r="C55" s="4" t="n"/>
      <c r="D55" s="4" t="n"/>
      <c r="E55" s="4" t="n"/>
      <c r="F55">
        <f>IF(E55="","",IF(ISNUMBER(E55),TODAY()-E55,IF(ISERROR(DATEVALUE(E55)),"",TODAY()-DATEVALUE(E55))))</f>
        <v/>
      </c>
      <c r="G55" s="4" t="n"/>
      <c r="H55" s="4" t="n"/>
      <c r="I55" s="4" t="n"/>
      <c r="J55" s="4" t="n"/>
      <c r="K55" s="6">
        <f>IF(COUNT(G55:J55)&lt;4,"",AVERAGE(G55:J55))</f>
        <v/>
      </c>
      <c r="L55" s="4" t="n"/>
      <c r="M55" s="4" t="n"/>
      <c r="N55" s="4" t="n"/>
    </row>
  </sheetData>
  <dataValidations count="3">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whole" operator="between">
      <formula1>0</formula1>
      <formula2>4</formula2>
    </dataValidation>
    <dataValidation sqref="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J6 J7 J8 J9 J10 J11 J12 J13 J14 J15 J16 J17 J18 J19 J20 J21 J22 J23 J24 J25 J26 J27 J28 J29 J30 J31 J32 J33 J34 J35 J36 J37 J38 J39 J40 J41 J42 J43 J44 J45 J46 J47 J48 J49 J50 J51 J52 J53 J54 J55" showDropDown="0" showInputMessage="0" showErrorMessage="0" allowBlank="1" type="whole" operator="between">
      <formula1>1</formula1>
      <formula2>5</formula2>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"Active,Dropped,Decided"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36" customWidth="1" min="3" max="3"/>
  </cols>
  <sheetData>
    <row r="1">
      <c r="A1" s="1" t="inlineStr">
        <is>
          <t>Summary: active ideas by stage</t>
        </is>
      </c>
    </row>
    <row r="2">
      <c r="A2" s="2" t="inlineStr">
        <is>
          <t>Educational only. Not investment advice. Independent; not affiliated with any fund or firm.</t>
        </is>
      </c>
    </row>
    <row r="5">
      <c r="A5" s="3" t="inlineStr">
        <is>
          <t>Stage</t>
        </is>
      </c>
      <c r="B5" s="3" t="inlineStr">
        <is>
          <t>Name</t>
        </is>
      </c>
      <c r="C5" s="3" t="inlineStr">
        <is>
          <t>Active ideas</t>
        </is>
      </c>
    </row>
    <row r="6">
      <c r="A6" t="n">
        <v>0</v>
      </c>
      <c r="B6" t="inlineStr">
        <is>
          <t>Inbox</t>
        </is>
      </c>
      <c r="C6">
        <f>COUNTIFS(Pipeline!D6:D55,A6,Pipeline!M6:M55,"Active")</f>
        <v/>
      </c>
    </row>
    <row r="7">
      <c r="A7" t="n">
        <v>1</v>
      </c>
      <c r="B7" t="inlineStr">
        <is>
          <t>Triage</t>
        </is>
      </c>
      <c r="C7">
        <f>COUNTIFS(Pipeline!D6:D55,A7,Pipeline!M6:M55,"Active")</f>
        <v/>
      </c>
    </row>
    <row r="8">
      <c r="A8" t="n">
        <v>2</v>
      </c>
      <c r="B8" t="inlineStr">
        <is>
          <t>First read</t>
        </is>
      </c>
      <c r="C8">
        <f>COUNTIFS(Pipeline!D6:D55,A8,Pipeline!M6:M55,"Active")</f>
        <v/>
      </c>
    </row>
    <row r="9">
      <c r="A9" t="n">
        <v>3</v>
      </c>
      <c r="B9" t="inlineStr">
        <is>
          <t>Deep work</t>
        </is>
      </c>
      <c r="C9">
        <f>COUNTIFS(Pipeline!D6:D55,A9,Pipeline!M6:M55,"Active")</f>
        <v/>
      </c>
    </row>
    <row r="10">
      <c r="A10" t="n">
        <v>4</v>
      </c>
      <c r="B10" t="inlineStr">
        <is>
          <t>Decision</t>
        </is>
      </c>
      <c r="C10">
        <f>COUNTIFS(Pipeline!D6:D55,A10,Pipeline!M6:M55,"Active")</f>
        <v/>
      </c>
    </row>
    <row r="12">
      <c r="A12" s="7" t="inlineStr">
        <is>
          <t>Deep-work cap (3)</t>
        </is>
      </c>
      <c r="C12">
        <f>IF(C9&gt;3,"OVER CAP: finish or drop something","OK")</f>
        <v/>
      </c>
    </row>
    <row r="13">
      <c r="A13" t="inlineStr">
        <is>
          <t>Dropped ideas</t>
        </is>
      </c>
      <c r="C13">
        <f>COUNTIF(Pipeline!M6:M55,"Dropped")</f>
        <v/>
      </c>
    </row>
    <row r="14">
      <c r="A14" t="inlineStr">
        <is>
          <t>Dropped without a reason</t>
        </is>
      </c>
      <c r="C14">
        <f>COUNTIFS(Pipeline!M6:M55,"Dropped",Pipeline!N6:N55,"")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8" customWidth="1" min="1" max="1"/>
  </cols>
  <sheetData>
    <row r="1">
      <c r="A1" s="1" t="inlineStr">
        <is>
          <t>Sources: which ones reach deep work?</t>
        </is>
      </c>
    </row>
    <row r="2">
      <c r="A2" s="2" t="inlineStr">
        <is>
          <t>Educational only. Not investment advice. Independent; not affiliated with any fund or firm.</t>
        </is>
      </c>
    </row>
    <row r="5">
      <c r="A5" s="3" t="inlineStr">
        <is>
          <t>Source</t>
        </is>
      </c>
      <c r="B5" s="3" t="inlineStr">
        <is>
          <t>Ideas entered</t>
        </is>
      </c>
      <c r="C5" s="3" t="inlineStr">
        <is>
          <t>Reached stage 3+</t>
        </is>
      </c>
      <c r="D5" s="3" t="inlineStr">
        <is>
          <t>Dropped</t>
        </is>
      </c>
      <c r="E5" s="3" t="inlineStr">
        <is>
          <t>Hit rate</t>
        </is>
      </c>
    </row>
    <row r="6">
      <c r="A6" s="4" t="inlineStr">
        <is>
          <t>Screen: margin change</t>
        </is>
      </c>
      <c r="B6">
        <f>IF(A6="","",COUNTIF(Pipeline!B6:B55,A6))</f>
        <v/>
      </c>
      <c r="C6">
        <f>IF(A6="","",COUNTIFS(Pipeline!B6:B55,A6,Pipeline!D6:D55,"&gt;=3"))</f>
        <v/>
      </c>
      <c r="D6">
        <f>IF(A6="","",COUNTIFS(Pipeline!B6:B55,A6,Pipeline!M6:M55,"Dropped"))</f>
        <v/>
      </c>
      <c r="E6" s="8">
        <f>IF(OR(A6="",N(B6)=0),"",C6/B6)</f>
        <v/>
      </c>
    </row>
    <row r="7">
      <c r="A7" s="4" t="inlineStr">
        <is>
          <t>Filing radar: 8-K</t>
        </is>
      </c>
      <c r="B7">
        <f>IF(A7="","",COUNTIF(Pipeline!B6:B55,A7))</f>
        <v/>
      </c>
      <c r="C7">
        <f>IF(A7="","",COUNTIFS(Pipeline!B6:B55,A7,Pipeline!D6:D55,"&gt;=3"))</f>
        <v/>
      </c>
      <c r="D7">
        <f>IF(A7="","",COUNTIFS(Pipeline!B6:B55,A7,Pipeline!M6:M55,"Dropped"))</f>
        <v/>
      </c>
      <c r="E7" s="8">
        <f>IF(OR(A7="",N(B7)=0),"",C7/B7)</f>
        <v/>
      </c>
    </row>
    <row r="8">
      <c r="A8" s="4" t="inlineStr">
        <is>
          <t>Reading</t>
        </is>
      </c>
      <c r="B8">
        <f>IF(A8="","",COUNTIF(Pipeline!B6:B55,A8))</f>
        <v/>
      </c>
      <c r="C8">
        <f>IF(A8="","",COUNTIFS(Pipeline!B6:B55,A8,Pipeline!D6:D55,"&gt;=3"))</f>
        <v/>
      </c>
      <c r="D8">
        <f>IF(A8="","",COUNTIFS(Pipeline!B6:B55,A8,Pipeline!M6:M55,"Dropped"))</f>
        <v/>
      </c>
      <c r="E8" s="8">
        <f>IF(OR(A8="",N(B8)=0),"",C8/B8)</f>
        <v/>
      </c>
    </row>
    <row r="9">
      <c r="A9" s="4" t="inlineStr">
        <is>
          <t>Screen: share count down</t>
        </is>
      </c>
      <c r="B9">
        <f>IF(A9="","",COUNTIF(Pipeline!B6:B55,A9))</f>
        <v/>
      </c>
      <c r="C9">
        <f>IF(A9="","",COUNTIFS(Pipeline!B6:B55,A9,Pipeline!D6:D55,"&gt;=3"))</f>
        <v/>
      </c>
      <c r="D9">
        <f>IF(A9="","",COUNTIFS(Pipeline!B6:B55,A9,Pipeline!M6:M55,"Dropped"))</f>
        <v/>
      </c>
      <c r="E9" s="8">
        <f>IF(OR(A9="",N(B9)=0),"",C9/B9)</f>
        <v/>
      </c>
    </row>
    <row r="10">
      <c r="A10" s="4" t="n"/>
      <c r="B10">
        <f>IF(A10="","",COUNTIF(Pipeline!B6:B55,A10))</f>
        <v/>
      </c>
      <c r="C10">
        <f>IF(A10="","",COUNTIFS(Pipeline!B6:B55,A10,Pipeline!D6:D55,"&gt;=3"))</f>
        <v/>
      </c>
      <c r="D10">
        <f>IF(A10="","",COUNTIFS(Pipeline!B6:B55,A10,Pipeline!M6:M55,"Dropped"))</f>
        <v/>
      </c>
      <c r="E10" s="8">
        <f>IF(OR(A10="",N(B10)=0),"",C10/B10)</f>
        <v/>
      </c>
    </row>
    <row r="11">
      <c r="A11" s="4" t="n"/>
      <c r="B11">
        <f>IF(A11="","",COUNTIF(Pipeline!B6:B55,A11))</f>
        <v/>
      </c>
      <c r="C11">
        <f>IF(A11="","",COUNTIFS(Pipeline!B6:B55,A11,Pipeline!D6:D55,"&gt;=3"))</f>
        <v/>
      </c>
      <c r="D11">
        <f>IF(A11="","",COUNTIFS(Pipeline!B6:B55,A11,Pipeline!M6:M55,"Dropped"))</f>
        <v/>
      </c>
      <c r="E11" s="8">
        <f>IF(OR(A11="",N(B11)=0),"",C11/B11)</f>
        <v/>
      </c>
    </row>
    <row r="12">
      <c r="A12" s="4" t="n"/>
      <c r="B12">
        <f>IF(A12="","",COUNTIF(Pipeline!B6:B55,A12))</f>
        <v/>
      </c>
      <c r="C12">
        <f>IF(A12="","",COUNTIFS(Pipeline!B6:B55,A12,Pipeline!D6:D55,"&gt;=3"))</f>
        <v/>
      </c>
      <c r="D12">
        <f>IF(A12="","",COUNTIFS(Pipeline!B6:B55,A12,Pipeline!M6:M55,"Dropped"))</f>
        <v/>
      </c>
      <c r="E12" s="8">
        <f>IF(OR(A12="",N(B12)=0),"",C12/B12)</f>
        <v/>
      </c>
    </row>
    <row r="13">
      <c r="A13" s="4" t="n"/>
      <c r="B13">
        <f>IF(A13="","",COUNTIF(Pipeline!B6:B55,A13))</f>
        <v/>
      </c>
      <c r="C13">
        <f>IF(A13="","",COUNTIFS(Pipeline!B6:B55,A13,Pipeline!D6:D55,"&gt;=3"))</f>
        <v/>
      </c>
      <c r="D13">
        <f>IF(A13="","",COUNTIFS(Pipeline!B6:B55,A13,Pipeline!M6:M55,"Dropped"))</f>
        <v/>
      </c>
      <c r="E13" s="8">
        <f>IF(OR(A13="",N(B13)=0),"",C13/B13)</f>
        <v/>
      </c>
    </row>
    <row r="14">
      <c r="A14" s="4" t="n"/>
      <c r="B14">
        <f>IF(A14="","",COUNTIF(Pipeline!B6:B55,A14))</f>
        <v/>
      </c>
      <c r="C14">
        <f>IF(A14="","",COUNTIFS(Pipeline!B6:B55,A14,Pipeline!D6:D55,"&gt;=3"))</f>
        <v/>
      </c>
      <c r="D14">
        <f>IF(A14="","",COUNTIFS(Pipeline!B6:B55,A14,Pipeline!M6:M55,"Dropped"))</f>
        <v/>
      </c>
      <c r="E14" s="8">
        <f>IF(OR(A14="",N(B14)=0),"",C14/B14)</f>
        <v/>
      </c>
    </row>
    <row r="15">
      <c r="A15" s="4" t="n"/>
      <c r="B15">
        <f>IF(A15="","",COUNTIF(Pipeline!B6:B55,A15))</f>
        <v/>
      </c>
      <c r="C15">
        <f>IF(A15="","",COUNTIFS(Pipeline!B6:B55,A15,Pipeline!D6:D55,"&gt;=3"))</f>
        <v/>
      </c>
      <c r="D15">
        <f>IF(A15="","",COUNTIFS(Pipeline!B6:B55,A15,Pipeline!M6:M55,"Dropped"))</f>
        <v/>
      </c>
      <c r="E15" s="8">
        <f>IF(OR(A15="",N(B15)=0),"",C15/B15)</f>
        <v/>
      </c>
    </row>
    <row r="16">
      <c r="A16" s="4" t="n"/>
      <c r="B16">
        <f>IF(A16="","",COUNTIF(Pipeline!B6:B55,A16))</f>
        <v/>
      </c>
      <c r="C16">
        <f>IF(A16="","",COUNTIFS(Pipeline!B6:B55,A16,Pipeline!D6:D55,"&gt;=3"))</f>
        <v/>
      </c>
      <c r="D16">
        <f>IF(A16="","",COUNTIFS(Pipeline!B6:B55,A16,Pipeline!M6:M55,"Dropped"))</f>
        <v/>
      </c>
      <c r="E16" s="8">
        <f>IF(OR(A16="",N(B16)=0),"",C16/B16)</f>
        <v/>
      </c>
    </row>
    <row r="17">
      <c r="A17" s="4" t="n"/>
      <c r="B17">
        <f>IF(A17="","",COUNTIF(Pipeline!B6:B55,A17))</f>
        <v/>
      </c>
      <c r="C17">
        <f>IF(A17="","",COUNTIFS(Pipeline!B6:B55,A17,Pipeline!D6:D55,"&gt;=3"))</f>
        <v/>
      </c>
      <c r="D17">
        <f>IF(A17="","",COUNTIFS(Pipeline!B6:B55,A17,Pipeline!M6:M55,"Dropped"))</f>
        <v/>
      </c>
      <c r="E17" s="8">
        <f>IF(OR(A17="",N(B17)=0),"",C17/B17)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Hedge Fund's Repository</dc:creator>
  <dc:title xmlns:dc="http://purl.org/dc/elements/1.1/">The Hedge Fund's Repository</dc:title>
  <dcterms:created xmlns:dcterms="http://purl.org/dc/terms/" xmlns:xsi="http://www.w3.org/2001/XMLSchema-instance" xsi:type="dcterms:W3CDTF">2026-10-27T05:09:25Z</dcterms:created>
  <dcterms:modified xmlns:dcterms="http://purl.org/dc/terms/" xmlns:xsi="http://www.w3.org/2001/XMLSchema-instance" xsi:type="dcterms:W3CDTF">2026-10-27T05:09:25Z</dcterms:modified>
  <cp:lastModifiedBy>The Hedge Fund's Repository</cp:lastModifiedBy>
</cp:coreProperties>
</file>